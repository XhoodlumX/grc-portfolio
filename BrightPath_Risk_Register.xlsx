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11_86DF0E92DC239E84516C86F6F1577CB5F019C8AD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Methodology" sheetId="1" r:id="rId1"/>
    <sheet name="Risk Register" sheetId="2" r:id="rId2"/>
  </sheets>
  <definedNames>
    <definedName name="_xlnm._FilterDatabase" localSheetId="1" hidden="1">'Risk Register'!$A$1:$K$12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<sst xmlns="http://schemas.openxmlformats.org/spreadsheetml/2006/main" count="117" uniqueCount="101">
  <si>
    <t>BrightPath Recruitment Ltd — Information Security Risk Assessment</t>
  </si>
  <si>
    <t>Fictional demonstration project for portfolio purposes. BrightPath Recruitment Ltd is not a real organisation.</t>
  </si>
  <si>
    <t>Scope &amp; context</t>
  </si>
  <si>
    <t>BrightPath Recruitment Ltd: a 25-person recruitment agency in Reading, UK (office + hybrid working). Holds CVs, passport scans and salary details of ~8,000 candidates in a cloud CRM. Uses Microsoft 365; staff access work email on personal phones (BYOD); an AI tool screens CVs automatically. No dedicated security team. Assessment covers information security and data protection risks to candidate data, business operations and regulatory compliance.</t>
  </si>
  <si>
    <t>Approach</t>
  </si>
  <si>
    <t>This assessment follows the ISO 31000:2018 risk management process: establish context → risk identification → risk analysis → risk evaluation → risk treatment. Risks were identified through review of the business context (assets, threats, vulnerabilities) and analysed using a 5×5 likelihood × impact matrix. Risk Score = Likelihood × Impact.</t>
  </si>
  <si>
    <t>Likelihood scale</t>
  </si>
  <si>
    <t>1 Rare (unlikely within 5 years) | 2 Unlikely (may occur within 2–5 years) | 3 Possible (may occur within 1–2 years) | 4 Likely (expected within 12 months) | 5 Almost certain (expected within 6 months or already occurring)</t>
  </si>
  <si>
    <t>Impact scale</t>
  </si>
  <si>
    <t>1 Negligible (minor inconvenience, no data exposed) | 2 Minor (limited internal disruption) | 3 Moderate (small-scale candidate data exposure, ICO notification considered, &lt;1 day disruption) | 4 Major (significant candidate data exposure, ICO reportable, reputational damage, multi-day disruption) | 5 Severe (large-scale breach of ~8,000 candidate records incl. passport scans, ICO enforcement/fine, loss of key clients, existential business interruption)</t>
  </si>
  <si>
    <t>Risk evaluation bands</t>
  </si>
  <si>
    <t>Score 15–25 = HIGH: treat immediately, escalate to Managing Director. Score 8–12 = MEDIUM: treat within 6 months. Score 1–6 = LOW: accept and monitor at next annual review.</t>
  </si>
  <si>
    <t>Treatment options</t>
  </si>
  <si>
    <t>Avoid (stop the activity) | Reduce (apply controls to lower likelihood and/or impact) | Transfer (shift via contract or insurance) | Accept (document and monitor, within appetite)</t>
  </si>
  <si>
    <t>Review</t>
  </si>
  <si>
    <t>Register owner: Managing Director. Review cycle: annual, or after any significant incident or change (new system, new vendor, office move).</t>
  </si>
  <si>
    <t>5×5 risk matrix</t>
  </si>
  <si>
    <t>Likelihood ↓ / Impact →</t>
  </si>
  <si>
    <t>Risk ID</t>
  </si>
  <si>
    <t>Asset</t>
  </si>
  <si>
    <t>Threat</t>
  </si>
  <si>
    <t>Vulnerability</t>
  </si>
  <si>
    <t>Likelihood (1-5)</t>
  </si>
  <si>
    <t>Impact (1-5)</t>
  </si>
  <si>
    <t>Score</t>
  </si>
  <si>
    <t>Existing Controls</t>
  </si>
  <si>
    <t>Treatment</t>
  </si>
  <si>
    <t>Recommended Control</t>
  </si>
  <si>
    <t>Owner</t>
  </si>
  <si>
    <t>R-01</t>
  </si>
  <si>
    <t>Recruiter M365 mailboxes and credentials</t>
  </si>
  <si>
    <t>Phishing email harvesting login credentials</t>
  </si>
  <si>
    <t>MFA not enforced on M365 or CRM; no security awareness training</t>
  </si>
  <si>
    <t>Default M365 spam filtering only</t>
  </si>
  <si>
    <t>Reduce</t>
  </si>
  <si>
    <t>Enforce MFA on all M365 and CRM accounts; quarterly phishing-awareness training with simulated phishing tests</t>
  </si>
  <si>
    <t>Office Manager</t>
  </si>
  <si>
    <t>R-02</t>
  </si>
  <si>
    <t>Candidate database in cloud CRM (~8,000 records incl. passport scans)</t>
  </si>
  <si>
    <t>External attacker or accidental public exposure of candidate data</t>
  </si>
  <si>
    <t>CRM sharing/permissions never reviewed; all staff have full export rights; no audit logging enabled</t>
  </si>
  <si>
    <t>CRM vendor default security settings</t>
  </si>
  <si>
    <t>Permissions review against least-privilege; restrict bulk-export to two named roles; enable and monitor CRM audit logs</t>
  </si>
  <si>
    <t>Managing Director</t>
  </si>
  <si>
    <t>R-03</t>
  </si>
  <si>
    <t>Candidate data in work email on personal phones (BYOD)</t>
  </si>
  <si>
    <t>Loss or theft of an unmanaged personal device</t>
  </si>
  <si>
    <t>No mobile device management; encryption and screen-lock not enforced; no remote-wipe capability</t>
  </si>
  <si>
    <t>None — informal staff guidance only</t>
  </si>
  <si>
    <t>Deploy Microsoft Intune (included in M365 Business Premium): enforce PIN, device encryption and selective remote wipe of work data</t>
  </si>
  <si>
    <t>R-04</t>
  </si>
  <si>
    <t>M365 and CRM user accounts</t>
  </si>
  <si>
    <t>Unauthorised access by former staff</t>
  </si>
  <si>
    <t>No formal leaver process; accounts found active after departure; one shared CRM login in use</t>
  </si>
  <si>
    <t>Ad-hoc deactivation when remembered</t>
  </si>
  <si>
    <t>Joiner/mover/leaver checklist with same-day deactivation; eliminate shared login; quarterly user-access review</t>
  </si>
  <si>
    <t>R-05</t>
  </si>
  <si>
    <t>All company data and day-to-day operations</t>
  </si>
  <si>
    <t>Ransomware delivered via malicious CV attachment</t>
  </si>
  <si>
    <t>Recruiters routinely open unsolicited attachments; no endpoint detection; backups never test-restored</t>
  </si>
  <si>
    <t>Default Microsoft Defender antivirus; OneDrive sync</t>
  </si>
  <si>
    <t>Microsoft Defender for Business with Safe Attachments sandboxing; documented backup regime with quarterly test restores</t>
  </si>
  <si>
    <t>External IT provider</t>
  </si>
  <si>
    <t>R-06</t>
  </si>
  <si>
    <t>AI CV-screening tool and candidate selection decisions</t>
  </si>
  <si>
    <t>Discriminatory screening outcomes against protected groups (Equality Act 2010; UK GDPR Art. 22)</t>
  </si>
  <si>
    <t>Tool deployed without bias testing, DPIA or human review of automated rejections</t>
  </si>
  <si>
    <t>Vendor marketing claims only</t>
  </si>
  <si>
    <t>Mandate human review of all AI rejections; complete DPIA before further use; obtain vendor bias-testing and model documentation</t>
  </si>
  <si>
    <t>R-07</t>
  </si>
  <si>
    <t>Passport scans and ID documents of rejected candidates</t>
  </si>
  <si>
    <t>ICO enforcement for breach of UK GDPR storage limitation principle</t>
  </si>
  <si>
    <t>No retention schedule; rejected-candidate data incl. passport scans kept indefinitely</t>
  </si>
  <si>
    <t>None</t>
  </si>
  <si>
    <t>Retention schedule (e.g. delete 6 months after final decision unless consent to retain); automated CRM deletion workflow</t>
  </si>
  <si>
    <t>R-08</t>
  </si>
  <si>
    <t>Company laptops used for hybrid working</t>
  </si>
  <si>
    <t>Loss or theft of laptop in transit or public places</t>
  </si>
  <si>
    <t>Disk encryption status unknown; no asset register; no screen-lock policy</t>
  </si>
  <si>
    <t>Windows login passwords</t>
  </si>
  <si>
    <t>Enforce BitLocker via Intune; maintain asset register; auto screen-lock at 5 minutes</t>
  </si>
  <si>
    <t>R-09</t>
  </si>
  <si>
    <t>Candidate CVs and personal data in transit</t>
  </si>
  <si>
    <t>Data leakage via unapproved channels (personal email, WhatsApp)</t>
  </si>
  <si>
    <t>No acceptable use policy; no data loss prevention controls; habit of forwarding CVs to personal accounts</t>
  </si>
  <si>
    <t>None — verbal expectations only</t>
  </si>
  <si>
    <t>Acceptable Use Policy (Artefact 2); M365 DLP policy detecting passport numbers and bulk candidate data in outbound mail</t>
  </si>
  <si>
    <t>R-10</t>
  </si>
  <si>
    <t>CRM vendor and AI screening vendor (third parties)</t>
  </si>
  <si>
    <t>Breach or failure at a vendor holding BrightPath candidate data</t>
  </si>
  <si>
    <t>No due diligence performed; data processing agreements not reviewed; vendor security posture unknown</t>
  </si>
  <si>
    <t>Standard vendor contracts</t>
  </si>
  <si>
    <t>Transfer</t>
  </si>
  <si>
    <t>Vendor security questionnaire; verify ISO 27001/SOC 2 certification; review and sign GDPR-compliant data processing agreements with liability clauses</t>
  </si>
  <si>
    <t>R-11</t>
  </si>
  <si>
    <t>Business operations (placements, payroll deadlines)</t>
  </si>
  <si>
    <t>Extended outage of M365 or cloud CRM</t>
  </si>
  <si>
    <t>Sole reliance on cloud vendors; no documented continuity arrangements</t>
  </si>
  <si>
    <t>Vendor SLAs (99.9% availability)</t>
  </si>
  <si>
    <t>Accept</t>
  </si>
  <si>
    <t>Accepted within appetite given vendor SLAs; document key contacts and a manual workaround one-pager; reassess at annual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</si>
</sst>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9"/>
      <color rgb="FF808080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tabSelected="1" zoomScaleNormal="100" workbookViewId="0"/>
  </sheetViews>
  <sheetFormatPr defaultColWidth="8.6640625" defaultRowHeight="14.4" x14ac:dyDescent="0.3"/>
  <cols>
    <col min="1" max="1" width="16" customWidth="1"/>
    <col min="2" max="7" width="22" customWidth="1"/>
  </cols>
  <sheetData>
    <row r="1" spans="1:7" ht="17.399999999999999" x14ac:dyDescent="0.3">
      <c r="A1" s="2" t="s">
        <v>0</v>
      </c>
    </row>
    <row r="2" spans="1:7" x14ac:dyDescent="0.3">
      <c r="A2" s="3" t="s">
        <v>1</v>
      </c>
    </row>
    <row r="4" spans="1:7" ht="60" customHeight="1" x14ac:dyDescent="0.3">
      <c r="A4" s="4" t="s">
        <v>2</v>
      </c>
      <c r="B4" s="1" t="s">
        <v>3</v>
      </c>
      <c r="C4" s="1"/>
      <c r="D4" s="1"/>
      <c r="E4" s="1"/>
      <c r="F4" s="1"/>
      <c r="G4" s="1"/>
    </row>
    <row r="5" spans="1:7" ht="60" customHeight="1" x14ac:dyDescent="0.3">
      <c r="A5" s="4" t="s">
        <v>4</v>
      </c>
      <c r="B5" s="1" t="s">
        <v>5</v>
      </c>
      <c r="C5" s="1"/>
      <c r="D5" s="1"/>
      <c r="E5" s="1"/>
      <c r="F5" s="1"/>
      <c r="G5" s="1"/>
    </row>
    <row r="6" spans="1:7" ht="60" customHeight="1" x14ac:dyDescent="0.3">
      <c r="A6" s="4" t="s">
        <v>6</v>
      </c>
      <c r="B6" s="1" t="s">
        <v>7</v>
      </c>
      <c r="C6" s="1"/>
      <c r="D6" s="1"/>
      <c r="E6" s="1"/>
      <c r="F6" s="1"/>
      <c r="G6" s="1"/>
    </row>
    <row r="7" spans="1:7" ht="60" customHeight="1" x14ac:dyDescent="0.3">
      <c r="A7" s="4" t="s">
        <v>8</v>
      </c>
      <c r="B7" s="1" t="s">
        <v>9</v>
      </c>
      <c r="C7" s="1"/>
      <c r="D7" s="1"/>
      <c r="E7" s="1"/>
      <c r="F7" s="1"/>
      <c r="G7" s="1"/>
    </row>
    <row r="8" spans="1:7" ht="33.75" customHeight="1" x14ac:dyDescent="0.3">
      <c r="A8" s="4" t="s">
        <v>10</v>
      </c>
      <c r="B8" s="1" t="s">
        <v>11</v>
      </c>
      <c r="C8" s="1"/>
      <c r="D8" s="1"/>
      <c r="E8" s="1"/>
      <c r="F8" s="1"/>
      <c r="G8" s="1"/>
    </row>
    <row r="9" spans="1:7" ht="33.75" customHeight="1" x14ac:dyDescent="0.3">
      <c r="A9" s="4" t="s">
        <v>12</v>
      </c>
      <c r="B9" s="1" t="s">
        <v>13</v>
      </c>
      <c r="C9" s="1"/>
      <c r="D9" s="1"/>
      <c r="E9" s="1"/>
      <c r="F9" s="1"/>
      <c r="G9" s="1"/>
    </row>
    <row r="10" spans="1:7" ht="33.75" customHeight="1" x14ac:dyDescent="0.3">
      <c r="A10" s="4" t="s">
        <v>14</v>
      </c>
      <c r="B10" s="1" t="s">
        <v>15</v>
      </c>
      <c r="C10" s="1"/>
      <c r="D10" s="1"/>
      <c r="E10" s="1"/>
      <c r="F10" s="1"/>
      <c r="G10" s="1"/>
    </row>
    <row r="12" spans="1:7" x14ac:dyDescent="0.3">
      <c r="A12" s="4" t="s">
        <v>16</v>
      </c>
    </row>
    <row r="13" spans="1:7" ht="24" x14ac:dyDescent="0.3">
      <c r="A13" s="5" t="s">
        <v>17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</row>
    <row r="14" spans="1:7" x14ac:dyDescent="0.3">
      <c r="A14" s="6">
        <v>5</v>
      </c>
      <c r="B14" s="7">
        <v>5</v>
      </c>
      <c r="C14" s="8">
        <v>10</v>
      </c>
      <c r="D14" s="9">
        <v>15</v>
      </c>
      <c r="E14" s="9">
        <v>20</v>
      </c>
      <c r="F14" s="9">
        <v>25</v>
      </c>
    </row>
    <row r="15" spans="1:7" x14ac:dyDescent="0.3">
      <c r="A15" s="6">
        <v>4</v>
      </c>
      <c r="B15" s="7">
        <v>4</v>
      </c>
      <c r="C15" s="8">
        <v>8</v>
      </c>
      <c r="D15" s="8">
        <v>12</v>
      </c>
      <c r="E15" s="9">
        <v>16</v>
      </c>
      <c r="F15" s="9">
        <v>20</v>
      </c>
    </row>
    <row r="16" spans="1:7" x14ac:dyDescent="0.3">
      <c r="A16" s="6">
        <v>3</v>
      </c>
      <c r="B16" s="7">
        <v>3</v>
      </c>
      <c r="C16" s="7">
        <v>6</v>
      </c>
      <c r="D16" s="8">
        <v>9</v>
      </c>
      <c r="E16" s="8">
        <v>12</v>
      </c>
      <c r="F16" s="9">
        <v>15</v>
      </c>
    </row>
    <row r="17" spans="1:6" x14ac:dyDescent="0.3">
      <c r="A17" s="6">
        <v>2</v>
      </c>
      <c r="B17" s="7">
        <v>2</v>
      </c>
      <c r="C17" s="7">
        <v>4</v>
      </c>
      <c r="D17" s="7">
        <v>6</v>
      </c>
      <c r="E17" s="8">
        <v>8</v>
      </c>
      <c r="F17" s="8">
        <v>10</v>
      </c>
    </row>
    <row r="18" spans="1:6" x14ac:dyDescent="0.3">
      <c r="A18" s="6">
        <v>1</v>
      </c>
      <c r="B18" s="7">
        <v>1</v>
      </c>
      <c r="C18" s="7">
        <v>2</v>
      </c>
      <c r="D18" s="7">
        <v>3</v>
      </c>
      <c r="E18" s="7">
        <v>4</v>
      </c>
      <c r="F18" s="7">
        <v>5</v>
      </c>
    </row>
  </sheetData>
  <mergeCells count="7">
    <mergeCell ref="B9:G9"/>
    <mergeCell ref="B10:G10"/>
    <mergeCell ref="B4:G4"/>
    <mergeCell ref="B5:G5"/>
    <mergeCell ref="B6:G6"/>
    <mergeCell ref="B7:G7"/>
    <mergeCell ref="B8:G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24" customWidth="1"/>
    <col min="4" max="4" width="28" customWidth="1"/>
    <col min="5" max="5" width="11" customWidth="1"/>
    <col min="6" max="6" width="9" customWidth="1"/>
    <col min="7" max="7" width="8" customWidth="1"/>
    <col min="8" max="8" width="28" customWidth="1"/>
    <col min="9" max="9" width="11" customWidth="1"/>
    <col min="10" max="10" width="36" customWidth="1"/>
    <col min="11" max="11" width="16" customWidth="1"/>
  </cols>
  <sheetData>
    <row r="1" spans="1:11" ht="30" customHeight="1" x14ac:dyDescent="0.3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</row>
    <row r="2" spans="1:11" ht="63.75" customHeight="1" x14ac:dyDescent="0.3">
      <c r="A2" s="11" t="s">
        <v>29</v>
      </c>
      <c r="B2" s="12" t="s">
        <v>30</v>
      </c>
      <c r="C2" s="12" t="s">
        <v>31</v>
      </c>
      <c r="D2" s="12" t="s">
        <v>32</v>
      </c>
      <c r="E2" s="11">
        <v>4</v>
      </c>
      <c r="F2" s="11">
        <v>4</v>
      </c>
      <c r="G2" s="13">
        <f t="shared" ref="G2:G12" si="0">E2*F2</f>
        <v>16</v>
      </c>
      <c r="H2" s="12" t="s">
        <v>33</v>
      </c>
      <c r="I2" s="11" t="s">
        <v>34</v>
      </c>
      <c r="J2" s="12" t="s">
        <v>35</v>
      </c>
      <c r="K2" s="12" t="s">
        <v>36</v>
      </c>
    </row>
    <row r="3" spans="1:11" ht="63.75" customHeight="1" x14ac:dyDescent="0.3">
      <c r="A3" s="14" t="s">
        <v>37</v>
      </c>
      <c r="B3" s="15" t="s">
        <v>38</v>
      </c>
      <c r="C3" s="15" t="s">
        <v>39</v>
      </c>
      <c r="D3" s="15" t="s">
        <v>40</v>
      </c>
      <c r="E3" s="14">
        <v>3</v>
      </c>
      <c r="F3" s="14">
        <v>5</v>
      </c>
      <c r="G3" s="16">
        <f t="shared" si="0"/>
        <v>15</v>
      </c>
      <c r="H3" s="15" t="s">
        <v>41</v>
      </c>
      <c r="I3" s="14" t="s">
        <v>34</v>
      </c>
      <c r="J3" s="15" t="s">
        <v>42</v>
      </c>
      <c r="K3" s="15" t="s">
        <v>43</v>
      </c>
    </row>
    <row r="4" spans="1:11" ht="63.75" customHeight="1" x14ac:dyDescent="0.3">
      <c r="A4" s="11" t="s">
        <v>44</v>
      </c>
      <c r="B4" s="12" t="s">
        <v>45</v>
      </c>
      <c r="C4" s="12" t="s">
        <v>46</v>
      </c>
      <c r="D4" s="12" t="s">
        <v>47</v>
      </c>
      <c r="E4" s="11">
        <v>4</v>
      </c>
      <c r="F4" s="11">
        <v>4</v>
      </c>
      <c r="G4" s="13">
        <f t="shared" si="0"/>
        <v>16</v>
      </c>
      <c r="H4" s="12" t="s">
        <v>48</v>
      </c>
      <c r="I4" s="11" t="s">
        <v>34</v>
      </c>
      <c r="J4" s="12" t="s">
        <v>49</v>
      </c>
      <c r="K4" s="12" t="s">
        <v>36</v>
      </c>
    </row>
    <row r="5" spans="1:11" ht="63.75" customHeight="1" x14ac:dyDescent="0.3">
      <c r="A5" s="14" t="s">
        <v>50</v>
      </c>
      <c r="B5" s="15" t="s">
        <v>51</v>
      </c>
      <c r="C5" s="15" t="s">
        <v>52</v>
      </c>
      <c r="D5" s="15" t="s">
        <v>53</v>
      </c>
      <c r="E5" s="14">
        <v>4</v>
      </c>
      <c r="F5" s="14">
        <v>4</v>
      </c>
      <c r="G5" s="16">
        <f t="shared" si="0"/>
        <v>16</v>
      </c>
      <c r="H5" s="15" t="s">
        <v>54</v>
      </c>
      <c r="I5" s="14" t="s">
        <v>34</v>
      </c>
      <c r="J5" s="15" t="s">
        <v>55</v>
      </c>
      <c r="K5" s="15" t="s">
        <v>36</v>
      </c>
    </row>
    <row r="6" spans="1:11" ht="63.75" customHeight="1" x14ac:dyDescent="0.3">
      <c r="A6" s="11" t="s">
        <v>56</v>
      </c>
      <c r="B6" s="12" t="s">
        <v>57</v>
      </c>
      <c r="C6" s="12" t="s">
        <v>58</v>
      </c>
      <c r="D6" s="12" t="s">
        <v>59</v>
      </c>
      <c r="E6" s="11">
        <v>3</v>
      </c>
      <c r="F6" s="11">
        <v>5</v>
      </c>
      <c r="G6" s="13">
        <f t="shared" si="0"/>
        <v>15</v>
      </c>
      <c r="H6" s="12" t="s">
        <v>60</v>
      </c>
      <c r="I6" s="11" t="s">
        <v>34</v>
      </c>
      <c r="J6" s="12" t="s">
        <v>61</v>
      </c>
      <c r="K6" s="12" t="s">
        <v>62</v>
      </c>
    </row>
    <row r="7" spans="1:11" ht="63.75" customHeight="1" x14ac:dyDescent="0.3">
      <c r="A7" s="14" t="s">
        <v>63</v>
      </c>
      <c r="B7" s="15" t="s">
        <v>64</v>
      </c>
      <c r="C7" s="15" t="s">
        <v>65</v>
      </c>
      <c r="D7" s="15" t="s">
        <v>66</v>
      </c>
      <c r="E7" s="14">
        <v>3</v>
      </c>
      <c r="F7" s="14">
        <v>4</v>
      </c>
      <c r="G7" s="16">
        <f t="shared" si="0"/>
        <v>12</v>
      </c>
      <c r="H7" s="15" t="s">
        <v>67</v>
      </c>
      <c r="I7" s="14" t="s">
        <v>34</v>
      </c>
      <c r="J7" s="15" t="s">
        <v>68</v>
      </c>
      <c r="K7" s="15" t="s">
        <v>43</v>
      </c>
    </row>
    <row r="8" spans="1:11" ht="63.75" customHeight="1" x14ac:dyDescent="0.3">
      <c r="A8" s="11" t="s">
        <v>69</v>
      </c>
      <c r="B8" s="12" t="s">
        <v>70</v>
      </c>
      <c r="C8" s="12" t="s">
        <v>71</v>
      </c>
      <c r="D8" s="12" t="s">
        <v>72</v>
      </c>
      <c r="E8" s="11">
        <v>4</v>
      </c>
      <c r="F8" s="11">
        <v>3</v>
      </c>
      <c r="G8" s="13">
        <f t="shared" si="0"/>
        <v>12</v>
      </c>
      <c r="H8" s="12" t="s">
        <v>73</v>
      </c>
      <c r="I8" s="11" t="s">
        <v>34</v>
      </c>
      <c r="J8" s="12" t="s">
        <v>74</v>
      </c>
      <c r="K8" s="12" t="s">
        <v>43</v>
      </c>
    </row>
    <row r="9" spans="1:11" ht="63.75" customHeight="1" x14ac:dyDescent="0.3">
      <c r="A9" s="14" t="s">
        <v>75</v>
      </c>
      <c r="B9" s="15" t="s">
        <v>76</v>
      </c>
      <c r="C9" s="15" t="s">
        <v>77</v>
      </c>
      <c r="D9" s="15" t="s">
        <v>78</v>
      </c>
      <c r="E9" s="14">
        <v>3</v>
      </c>
      <c r="F9" s="14">
        <v>4</v>
      </c>
      <c r="G9" s="16">
        <f t="shared" si="0"/>
        <v>12</v>
      </c>
      <c r="H9" s="15" t="s">
        <v>79</v>
      </c>
      <c r="I9" s="14" t="s">
        <v>34</v>
      </c>
      <c r="J9" s="15" t="s">
        <v>80</v>
      </c>
      <c r="K9" s="15" t="s">
        <v>36</v>
      </c>
    </row>
    <row r="10" spans="1:11" ht="63.75" customHeight="1" x14ac:dyDescent="0.3">
      <c r="A10" s="11" t="s">
        <v>81</v>
      </c>
      <c r="B10" s="12" t="s">
        <v>82</v>
      </c>
      <c r="C10" s="12" t="s">
        <v>83</v>
      </c>
      <c r="D10" s="12" t="s">
        <v>84</v>
      </c>
      <c r="E10" s="11">
        <v>4</v>
      </c>
      <c r="F10" s="11">
        <v>3</v>
      </c>
      <c r="G10" s="13">
        <f t="shared" si="0"/>
        <v>12</v>
      </c>
      <c r="H10" s="12" t="s">
        <v>85</v>
      </c>
      <c r="I10" s="11" t="s">
        <v>34</v>
      </c>
      <c r="J10" s="12" t="s">
        <v>86</v>
      </c>
      <c r="K10" s="12" t="s">
        <v>36</v>
      </c>
    </row>
    <row r="11" spans="1:11" ht="63.75" customHeight="1" x14ac:dyDescent="0.3">
      <c r="A11" s="14" t="s">
        <v>87</v>
      </c>
      <c r="B11" s="15" t="s">
        <v>88</v>
      </c>
      <c r="C11" s="15" t="s">
        <v>89</v>
      </c>
      <c r="D11" s="15" t="s">
        <v>90</v>
      </c>
      <c r="E11" s="14">
        <v>2</v>
      </c>
      <c r="F11" s="14">
        <v>5</v>
      </c>
      <c r="G11" s="16">
        <f t="shared" si="0"/>
        <v>10</v>
      </c>
      <c r="H11" s="15" t="s">
        <v>91</v>
      </c>
      <c r="I11" s="14" t="s">
        <v>92</v>
      </c>
      <c r="J11" s="15" t="s">
        <v>93</v>
      </c>
      <c r="K11" s="15" t="s">
        <v>43</v>
      </c>
    </row>
    <row r="12" spans="1:11" ht="63.75" customHeight="1" x14ac:dyDescent="0.3">
      <c r="A12" s="11" t="s">
        <v>94</v>
      </c>
      <c r="B12" s="12" t="s">
        <v>95</v>
      </c>
      <c r="C12" s="12" t="s">
        <v>96</v>
      </c>
      <c r="D12" s="12" t="s">
        <v>97</v>
      </c>
      <c r="E12" s="11">
        <v>2</v>
      </c>
      <c r="F12" s="11">
        <v>4</v>
      </c>
      <c r="G12" s="13">
        <f t="shared" si="0"/>
        <v>8</v>
      </c>
      <c r="H12" s="12" t="s">
        <v>98</v>
      </c>
      <c r="I12" s="11" t="s">
        <v>99</v>
      </c>
      <c r="J12" s="12" t="s">
        <v>100</v>
      </c>
      <c r="K12" s="12" t="s">
        <v>43</v>
      </c>
    </row>
  </sheetData>
  <autoFilter ref="A1:K12" xr:uid="{00000000-0009-0000-0000-000001000000}"/>
  <conditionalFormatting sqref="G2:G12">
    <cfRule type="cellIs" dxfId="2" priority="2" operator="greaterThanOrEqual">
      <formula>15</formula>
    </cfRule>
    <cfRule type="cellIs" dxfId="1" priority="3" operator="between">
      <formula>8</formula>
      <formula>14</formula>
    </cfRule>
    <cfRule type="cellIs" dxfId="0" priority="4" operator="lessThanOrEqual">
      <formula>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X_Sanz_X .</cp:lastModifiedBy>
  <cp:revision>0</cp:revision>
  <dcterms:created xsi:type="dcterms:W3CDTF">2026-06-11T20:55:09Z</dcterms:created>
  <dcterms:modified xsi:type="dcterms:W3CDTF">2026-06-11T21:25:50Z</dcterms:modified>
  <dc:language>en-US</dc:language>
</cp:coreProperties>
</file>